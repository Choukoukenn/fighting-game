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5_game_design_PB\"/>
    </mc:Choice>
  </mc:AlternateContent>
  <xr:revisionPtr revIDLastSave="0" documentId="13_ncr:1_{A24DCA2A-AA6A-46DB-88E0-0287F39B9002}" xr6:coauthVersionLast="47" xr6:coauthVersionMax="47" xr10:uidLastSave="{00000000-0000-0000-0000-000000000000}"/>
  <bookViews>
    <workbookView xWindow="1428" yWindow="2808" windowWidth="23040" windowHeight="12120" xr2:uid="{57A5F33F-DAB6-4E77-919B-5576544269BF}"/>
  </bookViews>
  <sheets>
    <sheet name="Sheet1" sheetId="1" r:id="rId1"/>
    <sheet name="祝日" sheetId="2" r:id="rId2"/>
  </sheets>
  <definedNames>
    <definedName name="_xlnm.Print_Area" localSheetId="0">Sheet1!$B$1:$AO$32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E24" i="1"/>
  <c r="E25" i="1"/>
  <c r="F25" i="1" s="1"/>
  <c r="F7" i="1"/>
  <c r="E8" i="1" s="1"/>
  <c r="F8" i="1" s="1"/>
  <c r="E9" i="1" l="1"/>
  <c r="F9" i="1" s="1"/>
  <c r="G5" i="1"/>
  <c r="G4" i="1" s="1"/>
  <c r="E10" i="1" l="1"/>
  <c r="F10" i="1" s="1"/>
  <c r="H5" i="1"/>
  <c r="I5" i="1" s="1"/>
  <c r="J5" i="1" s="1"/>
  <c r="K5" i="1" s="1"/>
  <c r="L5" i="1" s="1"/>
  <c r="M5" i="1" s="1"/>
  <c r="N5" i="1" s="1"/>
  <c r="O5" i="1" l="1"/>
  <c r="P5" i="1" s="1"/>
  <c r="Q5" i="1" s="1"/>
  <c r="R5" i="1" s="1"/>
  <c r="S5" i="1" s="1"/>
  <c r="T5" i="1" s="1"/>
  <c r="U5" i="1" s="1"/>
  <c r="N4" i="1"/>
  <c r="E11" i="1" l="1"/>
  <c r="F11" i="1" s="1"/>
  <c r="V5" i="1"/>
  <c r="W5" i="1" s="1"/>
  <c r="X5" i="1" s="1"/>
  <c r="Y5" i="1" s="1"/>
  <c r="Z5" i="1" s="1"/>
  <c r="AA5" i="1" s="1"/>
  <c r="AB5" i="1" s="1"/>
  <c r="U4" i="1"/>
  <c r="E12" i="1" l="1"/>
  <c r="F12" i="1" s="1"/>
  <c r="AC5" i="1"/>
  <c r="AD5" i="1" s="1"/>
  <c r="AE5" i="1" s="1"/>
  <c r="AF5" i="1" s="1"/>
  <c r="AG5" i="1" s="1"/>
  <c r="AH5" i="1" s="1"/>
  <c r="AI5" i="1" s="1"/>
  <c r="AB4" i="1"/>
  <c r="E13" i="1" l="1"/>
  <c r="F13" i="1" s="1"/>
  <c r="AJ5" i="1"/>
  <c r="AK5" i="1" s="1"/>
  <c r="AL5" i="1" s="1"/>
  <c r="AM5" i="1" s="1"/>
  <c r="AN5" i="1" s="1"/>
  <c r="AO5" i="1" s="1"/>
  <c r="AP5" i="1" s="1"/>
  <c r="AI4" i="1"/>
  <c r="E14" i="1" l="1"/>
  <c r="F14" i="1" s="1"/>
  <c r="AQ5" i="1"/>
  <c r="AR5" i="1" s="1"/>
  <c r="AS5" i="1" s="1"/>
  <c r="AT5" i="1" s="1"/>
  <c r="AU5" i="1" s="1"/>
  <c r="AV5" i="1" s="1"/>
  <c r="AW5" i="1" s="1"/>
  <c r="AP4" i="1"/>
  <c r="E15" i="1" l="1"/>
  <c r="F15" i="1" s="1"/>
  <c r="AW4" i="1"/>
  <c r="AX5" i="1"/>
  <c r="AY5" i="1" s="1"/>
  <c r="AZ5" i="1" s="1"/>
  <c r="BA5" i="1" s="1"/>
  <c r="BB5" i="1" s="1"/>
  <c r="BC5" i="1" s="1"/>
  <c r="BD5" i="1" s="1"/>
  <c r="E16" i="1" l="1"/>
  <c r="F16" i="1" s="1"/>
  <c r="BD4" i="1"/>
  <c r="BE5" i="1"/>
  <c r="BF5" i="1" s="1"/>
  <c r="BG5" i="1" s="1"/>
  <c r="BH5" i="1" s="1"/>
  <c r="BI5" i="1" s="1"/>
  <c r="BJ5" i="1" s="1"/>
  <c r="BK5" i="1" s="1"/>
  <c r="E17" i="1" l="1"/>
  <c r="F17" i="1" s="1"/>
  <c r="E18" i="1" s="1"/>
  <c r="F18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BL5" i="1"/>
  <c r="BM5" i="1" s="1"/>
  <c r="BN5" i="1" s="1"/>
  <c r="BO5" i="1" s="1"/>
  <c r="BP5" i="1" s="1"/>
  <c r="BQ5" i="1" s="1"/>
  <c r="BR5" i="1" s="1"/>
  <c r="BK4" i="1"/>
  <c r="BS5" i="1" l="1"/>
  <c r="BT5" i="1" s="1"/>
  <c r="BU5" i="1" s="1"/>
  <c r="BV5" i="1" s="1"/>
  <c r="BW5" i="1" s="1"/>
  <c r="BX5" i="1" s="1"/>
  <c r="BY5" i="1" s="1"/>
  <c r="BR4" i="1"/>
  <c r="BZ5" i="1" l="1"/>
  <c r="CA5" i="1" s="1"/>
  <c r="CB5" i="1" s="1"/>
  <c r="CC5" i="1" s="1"/>
  <c r="CD5" i="1" s="1"/>
  <c r="CE5" i="1" s="1"/>
  <c r="CF5" i="1" s="1"/>
  <c r="BY4" i="1"/>
  <c r="CF4" i="1" l="1"/>
  <c r="CG5" i="1"/>
  <c r="CH5" i="1" s="1"/>
  <c r="CI5" i="1" s="1"/>
  <c r="CJ5" i="1" s="1"/>
  <c r="CK5" i="1" s="1"/>
  <c r="CL5" i="1" s="1"/>
  <c r="CM5" i="1" s="1"/>
  <c r="CN5" i="1" l="1"/>
  <c r="CO5" i="1" s="1"/>
  <c r="CP5" i="1" s="1"/>
  <c r="CQ5" i="1" s="1"/>
  <c r="CR5" i="1" s="1"/>
  <c r="CS5" i="1" s="1"/>
  <c r="CT5" i="1" s="1"/>
  <c r="CM4" i="1"/>
  <c r="CU5" i="1" l="1"/>
  <c r="CV5" i="1" s="1"/>
  <c r="CW5" i="1" s="1"/>
  <c r="CX5" i="1" s="1"/>
  <c r="CY5" i="1" s="1"/>
  <c r="CZ5" i="1" s="1"/>
  <c r="DA5" i="1" s="1"/>
  <c r="CT4" i="1"/>
  <c r="DB5" i="1" l="1"/>
  <c r="DC5" i="1" s="1"/>
  <c r="DD5" i="1" s="1"/>
  <c r="DE5" i="1" s="1"/>
  <c r="DF5" i="1" s="1"/>
  <c r="DG5" i="1" s="1"/>
  <c r="DH5" i="1" s="1"/>
  <c r="DA4" i="1"/>
  <c r="DI5" i="1" l="1"/>
  <c r="DJ5" i="1" s="1"/>
  <c r="DK5" i="1" s="1"/>
  <c r="DL5" i="1" s="1"/>
  <c r="DM5" i="1" s="1"/>
  <c r="DN5" i="1" s="1"/>
  <c r="DO5" i="1" s="1"/>
  <c r="DH4" i="1"/>
  <c r="DP5" i="1" l="1"/>
  <c r="DQ5" i="1" s="1"/>
  <c r="DR5" i="1" s="1"/>
  <c r="DS5" i="1" s="1"/>
  <c r="DT5" i="1" s="1"/>
  <c r="DU5" i="1" s="1"/>
  <c r="DV5" i="1" s="1"/>
  <c r="DO4" i="1"/>
  <c r="DW5" i="1" l="1"/>
  <c r="DX5" i="1" s="1"/>
  <c r="DY5" i="1" s="1"/>
  <c r="DZ5" i="1" s="1"/>
  <c r="EA5" i="1" s="1"/>
  <c r="EB5" i="1" s="1"/>
  <c r="EC5" i="1" s="1"/>
  <c r="DV4" i="1"/>
  <c r="ED5" i="1" l="1"/>
  <c r="EE5" i="1" s="1"/>
  <c r="EF5" i="1" s="1"/>
  <c r="EG5" i="1" s="1"/>
  <c r="EH5" i="1" s="1"/>
  <c r="EI5" i="1" s="1"/>
  <c r="EJ5" i="1" s="1"/>
  <c r="EC4" i="1"/>
  <c r="EK5" i="1" l="1"/>
  <c r="EL5" i="1" s="1"/>
  <c r="EM5" i="1" s="1"/>
  <c r="EN5" i="1" s="1"/>
  <c r="EO5" i="1" s="1"/>
  <c r="EP5" i="1" s="1"/>
  <c r="EQ5" i="1" s="1"/>
  <c r="EJ4" i="1"/>
  <c r="ER5" i="1" l="1"/>
  <c r="ES5" i="1" s="1"/>
  <c r="ET5" i="1" s="1"/>
  <c r="EU5" i="1" s="1"/>
  <c r="EV5" i="1" s="1"/>
  <c r="EW5" i="1" s="1"/>
  <c r="EQ4" i="1"/>
</calcChain>
</file>

<file path=xl/sharedStrings.xml><?xml version="1.0" encoding="utf-8"?>
<sst xmlns="http://schemas.openxmlformats.org/spreadsheetml/2006/main" count="44" uniqueCount="43">
  <si>
    <t>開始日</t>
    <rPh sb="0" eb="3">
      <t>カイシビ</t>
    </rPh>
    <phoneticPr fontId="1"/>
  </si>
  <si>
    <t>完了日</t>
    <rPh sb="0" eb="3">
      <t>カンリョウビ</t>
    </rPh>
    <phoneticPr fontId="1"/>
  </si>
  <si>
    <t>タスク</t>
    <phoneticPr fontId="1"/>
  </si>
  <si>
    <t>担当者</t>
    <rPh sb="0" eb="3">
      <t>タントウシャ</t>
    </rPh>
    <phoneticPr fontId="1"/>
  </si>
  <si>
    <t>終了日</t>
    <rPh sb="0" eb="3">
      <t>シュウリョウビ</t>
    </rPh>
    <phoneticPr fontId="1"/>
  </si>
  <si>
    <t>工数</t>
    <rPh sb="0" eb="2">
      <t>コウスウ</t>
    </rPh>
    <phoneticPr fontId="1"/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</si>
  <si>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</si>
  <si>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</si>
  <si>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</si>
  <si>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</si>
  <si>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</si>
  <si>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</si>
  <si>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</si>
  <si>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</si>
  <si>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</si>
  <si>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</si>
  <si>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</si>
  <si>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</si>
  <si>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</si>
  <si>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</si>
  <si>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</si>
  <si>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</si>
  <si>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キャラモテル導入</t>
    <rPh sb="6" eb="8">
      <t>ドウニュウ</t>
    </rPh>
    <phoneticPr fontId="1"/>
  </si>
  <si>
    <t>キャラモーション導入</t>
    <rPh sb="8" eb="10">
      <t>ドウニュウ</t>
    </rPh>
    <phoneticPr fontId="1"/>
  </si>
  <si>
    <t>カウンター処理</t>
    <rPh sb="5" eb="7">
      <t>ショリ</t>
    </rPh>
    <phoneticPr fontId="1"/>
  </si>
  <si>
    <t>ジャンプ処理</t>
    <rPh sb="4" eb="6">
      <t>ショリ</t>
    </rPh>
    <phoneticPr fontId="1"/>
  </si>
  <si>
    <t>ジャンプ攻撃処理</t>
    <rPh sb="4" eb="6">
      <t>コウゲキ</t>
    </rPh>
    <rPh sb="6" eb="8">
      <t>ショリ</t>
    </rPh>
    <phoneticPr fontId="1"/>
  </si>
  <si>
    <t>走り処理</t>
    <rPh sb="0" eb="1">
      <t>ハシ</t>
    </rPh>
    <rPh sb="2" eb="4">
      <t>ショリ</t>
    </rPh>
    <phoneticPr fontId="1"/>
  </si>
  <si>
    <t>走り攻撃処理</t>
    <rPh sb="0" eb="1">
      <t>ハシ</t>
    </rPh>
    <rPh sb="2" eb="4">
      <t>コウゲキ</t>
    </rPh>
    <rPh sb="4" eb="6">
      <t>ショリ</t>
    </rPh>
    <phoneticPr fontId="1"/>
  </si>
  <si>
    <t>ガード処理</t>
    <rPh sb="3" eb="5">
      <t>ショリ</t>
    </rPh>
    <phoneticPr fontId="1"/>
  </si>
  <si>
    <t>コリジョン出るタイミング</t>
    <rPh sb="5" eb="6">
      <t>デ</t>
    </rPh>
    <phoneticPr fontId="1"/>
  </si>
  <si>
    <t>格ゲー</t>
    <rPh sb="0" eb="1">
      <t>カク</t>
    </rPh>
    <phoneticPr fontId="1"/>
  </si>
  <si>
    <t>格ゲー</t>
    <phoneticPr fontId="1"/>
  </si>
  <si>
    <t>攻撃を受ける処理</t>
    <phoneticPr fontId="1"/>
  </si>
  <si>
    <t>エイム処理</t>
    <phoneticPr fontId="1"/>
  </si>
  <si>
    <t>UI(HP)</t>
    <phoneticPr fontId="1"/>
  </si>
  <si>
    <t>カメラを二人の間に見る</t>
    <rPh sb="4" eb="6">
      <t>フタリ</t>
    </rPh>
    <rPh sb="7" eb="8">
      <t>アイダ</t>
    </rPh>
    <rPh sb="9" eb="10">
      <t>ミ</t>
    </rPh>
    <phoneticPr fontId="1"/>
  </si>
  <si>
    <t>プレイヤー２のモーションを入れる</t>
    <rPh sb="13" eb="14">
      <t>イ</t>
    </rPh>
    <phoneticPr fontId="1"/>
  </si>
  <si>
    <t>ゲームループ</t>
  </si>
  <si>
    <t>簡単なUI（マニュアル）</t>
    <rPh sb="0" eb="2">
      <t>カンタン</t>
    </rPh>
    <phoneticPr fontId="1"/>
  </si>
  <si>
    <t>キャラの細かい調整</t>
    <rPh sb="4" eb="5">
      <t>コマ</t>
    </rPh>
    <rPh sb="7" eb="9">
      <t>チョウセイ</t>
    </rPh>
    <phoneticPr fontId="1"/>
  </si>
  <si>
    <t>エイム時に攻撃すると弾が出る</t>
    <rPh sb="3" eb="4">
      <t>トキ</t>
    </rPh>
    <rPh sb="5" eb="7">
      <t>コウゲキ</t>
    </rPh>
    <rPh sb="10" eb="11">
      <t>タマ</t>
    </rPh>
    <rPh sb="12" eb="13">
      <t>デ</t>
    </rPh>
    <phoneticPr fontId="1"/>
  </si>
  <si>
    <t>簡単なCPUを入れる</t>
    <rPh sb="0" eb="2">
      <t>カンタン</t>
    </rPh>
    <rPh sb="7" eb="8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</si>
</sst>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\ &quot;日&quot;"/>
    <numFmt numFmtId="177" formatCode="d"/>
    <numFmt numFmtId="178" formatCode="m&quot;月&quot;"/>
    <numFmt numFmtId="179" formatCode="m/d;@"/>
  </numFmts>
  <fonts count="4" x14ac:knownFonts="1">
    <font>
      <sz val="11"/>
      <color theme="1"/>
      <name val="游明朝"/>
      <family val="2"/>
      <charset val="128"/>
    </font>
    <font>
      <sz val="6"/>
      <name val="游明朝"/>
      <family val="2"/>
      <charset val="128"/>
    </font>
    <font>
      <sz val="18"/>
      <color theme="1"/>
      <name val="游明朝"/>
      <family val="2"/>
      <charset val="128"/>
    </font>
    <font>
      <b/>
      <sz val="11"/>
      <color theme="1"/>
      <name val="游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3" fillId="2" borderId="3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4" xfId="0" applyFont="1" applyFill="1" applyBorder="1">
      <alignment vertical="center"/>
    </xf>
    <xf numFmtId="179" fontId="0" fillId="0" borderId="0" xfId="0" applyNumberFormat="1" applyAlignment="1">
      <alignment horizontal="right" vertical="center"/>
    </xf>
    <xf numFmtId="178" fontId="0" fillId="4" borderId="3" xfId="0" applyNumberFormat="1" applyFill="1" applyBorder="1" applyAlignment="1">
      <alignment horizontal="left" vertical="center" indent="1"/>
    </xf>
    <xf numFmtId="178" fontId="0" fillId="4" borderId="7" xfId="0" applyNumberFormat="1" applyFill="1" applyBorder="1" applyAlignment="1">
      <alignment horizontal="left" vertical="center" inden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left" vertical="center" indent="1"/>
    </xf>
  </cellXfs>
  <cellStyles count="1">
    <cellStyle name="標準" xfId="0" builtinId="0"/>
  </cellStyles>
  <dxfs count="5"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  <border>
        <left/>
        <right/>
        <top style="thin">
          <color theme="1" tint="0.499984740745262"/>
        </top>
        <bottom style="thin">
          <color theme="1" tint="0.499984740745262"/>
        </bottom>
      </border>
    </dxf>
    <dxf>
      <fill>
        <patternFill>
          <bgColor theme="8" tint="0.79998168889431442"/>
        </patternFill>
      </fill>
    </dxf>
    <dxf>
      <fill>
        <patternFill>
          <bgColor rgb="FFFDD5D5"/>
        </patternFill>
      </fill>
    </dxf>
    <dxf>
      <fill>
        <patternFill>
          <bgColor theme="3" tint="0.39994506668294322"/>
        </patternFill>
      </fill>
      <border>
        <left/>
        <right/>
        <top style="thin">
          <color theme="1" tint="0.499984740745262"/>
        </top>
        <bottom style="thin">
          <color theme="1" tint="0.499984740745262"/>
        </bottom>
      </border>
    </dxf>
  </dxfs>
  <tableStyles count="0" defaultTableStyle="TableStyleMedium2" defaultPivotStyle="PivotStyleLight16"/>
  <colors>
    <mruColors>
      <color rgb="FFFD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F617-50FB-46FD-8300-979FD8D92A19}">
  <sheetPr>
    <pageSetUpPr fitToPage="1"/>
  </sheetPr>
  <dimension ref="B1:EW26"/>
  <sheetViews>
    <sheetView showGridLines="0" tabSelected="1" zoomScale="115" zoomScaleNormal="115" workbookViewId="0">
      <pane xSplit="6" ySplit="6" topLeftCell="DP19" activePane="bottomRight" state="frozen"/>
      <selection pane="topRight" activeCell="G1" sqref="G1"/>
      <selection pane="bottomLeft" activeCell="A7" sqref="A7"/>
      <selection pane="bottomRight" activeCell="B24" sqref="B24"/>
    </sheetView>
  </sheetViews>
  <sheetFormatPr defaultColWidth="2.8984375" defaultRowHeight="18" x14ac:dyDescent="0.45"/>
  <cols>
    <col min="1" max="1" width="1.8984375" customWidth="1"/>
    <col min="2" max="2" width="37.796875" style="3" customWidth="1"/>
    <col min="3" max="4" width="8.69921875" customWidth="1"/>
    <col min="5" max="5" width="10.3984375" customWidth="1"/>
    <col min="6" max="6" width="11.3984375" customWidth="1"/>
    <col min="7" max="36" width="3.69921875" style="1" customWidth="1"/>
    <col min="37" max="37" width="2.8984375" style="1"/>
    <col min="89" max="89" width="2.8984375" customWidth="1"/>
  </cols>
  <sheetData>
    <row r="1" spans="2:153" ht="18" customHeight="1" x14ac:dyDescent="0.45">
      <c r="B1" s="20" t="s">
        <v>31</v>
      </c>
      <c r="C1" s="20"/>
      <c r="D1" s="20"/>
      <c r="E1" s="1" t="s">
        <v>0</v>
      </c>
      <c r="F1" s="2">
        <v>45931</v>
      </c>
    </row>
    <row r="2" spans="2:153" ht="18" customHeight="1" x14ac:dyDescent="0.45">
      <c r="B2" s="21"/>
      <c r="C2" s="21"/>
      <c r="D2" s="21"/>
      <c r="E2" s="5" t="s">
        <v>4</v>
      </c>
      <c r="F2" s="7">
        <v>46053</v>
      </c>
    </row>
    <row r="3" spans="2:153" x14ac:dyDescent="0.45">
      <c r="B3" s="1"/>
    </row>
    <row r="4" spans="2:153" x14ac:dyDescent="0.45">
      <c r="B4" s="22" t="s">
        <v>2</v>
      </c>
      <c r="C4" s="22" t="s">
        <v>3</v>
      </c>
      <c r="D4" s="18" t="s">
        <v>5</v>
      </c>
      <c r="E4" s="22" t="s">
        <v>0</v>
      </c>
      <c r="F4" s="23" t="s">
        <v>1</v>
      </c>
      <c r="G4" s="16">
        <f>G5</f>
        <v>45931</v>
      </c>
      <c r="H4" s="17"/>
      <c r="I4" s="17"/>
      <c r="J4" s="17"/>
      <c r="K4" s="17"/>
      <c r="L4" s="17"/>
      <c r="M4" s="24"/>
      <c r="N4" s="16">
        <f t="shared" ref="N4" si="0">N5</f>
        <v>45938</v>
      </c>
      <c r="O4" s="17"/>
      <c r="P4" s="17"/>
      <c r="Q4" s="17"/>
      <c r="R4" s="17"/>
      <c r="S4" s="17"/>
      <c r="T4" s="24"/>
      <c r="U4" s="16">
        <f t="shared" ref="U4" si="1">U5</f>
        <v>45945</v>
      </c>
      <c r="V4" s="17"/>
      <c r="W4" s="17"/>
      <c r="X4" s="17"/>
      <c r="Y4" s="17"/>
      <c r="Z4" s="17"/>
      <c r="AA4" s="24"/>
      <c r="AB4" s="16">
        <f t="shared" ref="AB4" si="2">AB5</f>
        <v>45952</v>
      </c>
      <c r="AC4" s="17"/>
      <c r="AD4" s="17"/>
      <c r="AE4" s="17"/>
      <c r="AF4" s="17"/>
      <c r="AG4" s="17"/>
      <c r="AH4" s="17"/>
      <c r="AI4" s="16">
        <f t="shared" ref="AI4" si="3">AI5</f>
        <v>45959</v>
      </c>
      <c r="AJ4" s="17"/>
      <c r="AK4" s="17"/>
      <c r="AL4" s="17"/>
      <c r="AM4" s="17"/>
      <c r="AN4" s="17"/>
      <c r="AO4" s="17"/>
      <c r="AP4" s="16">
        <f t="shared" ref="AP4" si="4">AP5</f>
        <v>45966</v>
      </c>
      <c r="AQ4" s="17"/>
      <c r="AR4" s="17"/>
      <c r="AS4" s="17"/>
      <c r="AT4" s="17"/>
      <c r="AU4" s="17"/>
      <c r="AV4" s="17"/>
      <c r="AW4" s="16">
        <f t="shared" ref="AW4" si="5">AW5</f>
        <v>45973</v>
      </c>
      <c r="AX4" s="17"/>
      <c r="AY4" s="17"/>
      <c r="AZ4" s="17"/>
      <c r="BA4" s="17"/>
      <c r="BB4" s="17"/>
      <c r="BC4" s="17"/>
      <c r="BD4" s="16">
        <f t="shared" ref="BD4" si="6">BD5</f>
        <v>45980</v>
      </c>
      <c r="BE4" s="17"/>
      <c r="BF4" s="17"/>
      <c r="BG4" s="17"/>
      <c r="BH4" s="17"/>
      <c r="BI4" s="17"/>
      <c r="BJ4" s="17"/>
      <c r="BK4" s="16">
        <f t="shared" ref="BK4" si="7">BK5</f>
        <v>45987</v>
      </c>
      <c r="BL4" s="17"/>
      <c r="BM4" s="17"/>
      <c r="BN4" s="17"/>
      <c r="BO4" s="17"/>
      <c r="BP4" s="17"/>
      <c r="BQ4" s="17"/>
      <c r="BR4" s="16">
        <f t="shared" ref="BR4" si="8">BR5</f>
        <v>45994</v>
      </c>
      <c r="BS4" s="17"/>
      <c r="BT4" s="17"/>
      <c r="BU4" s="17"/>
      <c r="BV4" s="17"/>
      <c r="BW4" s="17"/>
      <c r="BX4" s="17"/>
      <c r="BY4" s="16">
        <f t="shared" ref="BY4" si="9">BY5</f>
        <v>46001</v>
      </c>
      <c r="BZ4" s="17"/>
      <c r="CA4" s="17"/>
      <c r="CB4" s="17"/>
      <c r="CC4" s="17"/>
      <c r="CD4" s="17"/>
      <c r="CE4" s="17"/>
      <c r="CF4" s="16">
        <f t="shared" ref="CF4" si="10">CF5</f>
        <v>46008</v>
      </c>
      <c r="CG4" s="17"/>
      <c r="CH4" s="17"/>
      <c r="CI4" s="17"/>
      <c r="CJ4" s="17"/>
      <c r="CK4" s="17"/>
      <c r="CL4" s="17"/>
      <c r="CM4" s="16">
        <f t="shared" ref="CM4" si="11">CM5</f>
        <v>46015</v>
      </c>
      <c r="CN4" s="17"/>
      <c r="CO4" s="17"/>
      <c r="CP4" s="17"/>
      <c r="CQ4" s="17"/>
      <c r="CR4" s="17"/>
      <c r="CS4" s="17"/>
      <c r="CT4" s="16">
        <f t="shared" ref="CT4" si="12">CT5</f>
        <v>46022</v>
      </c>
      <c r="CU4" s="17"/>
      <c r="CV4" s="17"/>
      <c r="CW4" s="17"/>
      <c r="CX4" s="17"/>
      <c r="CY4" s="17"/>
      <c r="CZ4" s="17"/>
      <c r="DA4" s="16">
        <f t="shared" ref="DA4" si="13">DA5</f>
        <v>46029</v>
      </c>
      <c r="DB4" s="17"/>
      <c r="DC4" s="17"/>
      <c r="DD4" s="17"/>
      <c r="DE4" s="17"/>
      <c r="DF4" s="17"/>
      <c r="DG4" s="17"/>
      <c r="DH4" s="16">
        <f t="shared" ref="DH4" si="14">DH5</f>
        <v>46036</v>
      </c>
      <c r="DI4" s="17"/>
      <c r="DJ4" s="17"/>
      <c r="DK4" s="17"/>
      <c r="DL4" s="17"/>
      <c r="DM4" s="17"/>
      <c r="DN4" s="17"/>
      <c r="DO4" s="16">
        <f t="shared" ref="DO4" si="15">DO5</f>
        <v>46043</v>
      </c>
      <c r="DP4" s="17"/>
      <c r="DQ4" s="17"/>
      <c r="DR4" s="17"/>
      <c r="DS4" s="17"/>
      <c r="DT4" s="17"/>
      <c r="DU4" s="17"/>
      <c r="DV4" s="16">
        <f t="shared" ref="DV4" si="16">DV5</f>
        <v>46050</v>
      </c>
      <c r="DW4" s="17"/>
      <c r="DX4" s="17"/>
      <c r="DY4" s="17"/>
      <c r="DZ4" s="17"/>
      <c r="EA4" s="17"/>
      <c r="EB4" s="17"/>
      <c r="EC4" s="16">
        <f t="shared" ref="EC4" si="17">EC5</f>
        <v>46057</v>
      </c>
      <c r="ED4" s="17"/>
      <c r="EE4" s="17"/>
      <c r="EF4" s="17"/>
      <c r="EG4" s="17"/>
      <c r="EH4" s="17"/>
      <c r="EI4" s="17"/>
      <c r="EJ4" s="16">
        <f t="shared" ref="EJ4" si="18">EJ5</f>
        <v>46064</v>
      </c>
      <c r="EK4" s="17"/>
      <c r="EL4" s="17"/>
      <c r="EM4" s="17"/>
      <c r="EN4" s="17"/>
      <c r="EO4" s="17"/>
      <c r="EP4" s="17"/>
      <c r="EQ4" s="16">
        <f t="shared" ref="EQ4" si="19">EQ5</f>
        <v>46071</v>
      </c>
      <c r="ER4" s="17"/>
      <c r="ES4" s="17"/>
      <c r="ET4" s="17"/>
      <c r="EU4" s="17"/>
      <c r="EV4" s="17"/>
      <c r="EW4" s="17"/>
    </row>
    <row r="5" spans="2:153" x14ac:dyDescent="0.45">
      <c r="B5" s="22"/>
      <c r="C5" s="22"/>
      <c r="D5" s="19"/>
      <c r="E5" s="22"/>
      <c r="F5" s="22"/>
      <c r="G5" s="6">
        <f>F1</f>
        <v>45931</v>
      </c>
      <c r="H5" s="6">
        <f>G5+1</f>
        <v>45932</v>
      </c>
      <c r="I5" s="6">
        <f t="shared" ref="I5:AK5" si="20">H5+1</f>
        <v>45933</v>
      </c>
      <c r="J5" s="6">
        <f t="shared" si="20"/>
        <v>45934</v>
      </c>
      <c r="K5" s="6">
        <f t="shared" si="20"/>
        <v>45935</v>
      </c>
      <c r="L5" s="6">
        <f t="shared" si="20"/>
        <v>45936</v>
      </c>
      <c r="M5" s="6">
        <f t="shared" si="20"/>
        <v>45937</v>
      </c>
      <c r="N5" s="6">
        <f t="shared" si="20"/>
        <v>45938</v>
      </c>
      <c r="O5" s="6">
        <f t="shared" si="20"/>
        <v>45939</v>
      </c>
      <c r="P5" s="6">
        <f t="shared" si="20"/>
        <v>45940</v>
      </c>
      <c r="Q5" s="6">
        <f t="shared" si="20"/>
        <v>45941</v>
      </c>
      <c r="R5" s="6">
        <f t="shared" si="20"/>
        <v>45942</v>
      </c>
      <c r="S5" s="6">
        <f t="shared" si="20"/>
        <v>45943</v>
      </c>
      <c r="T5" s="6">
        <f t="shared" si="20"/>
        <v>45944</v>
      </c>
      <c r="U5" s="6">
        <f t="shared" si="20"/>
        <v>45945</v>
      </c>
      <c r="V5" s="6">
        <f t="shared" si="20"/>
        <v>45946</v>
      </c>
      <c r="W5" s="6">
        <f t="shared" si="20"/>
        <v>45947</v>
      </c>
      <c r="X5" s="6">
        <f t="shared" si="20"/>
        <v>45948</v>
      </c>
      <c r="Y5" s="6">
        <f t="shared" si="20"/>
        <v>45949</v>
      </c>
      <c r="Z5" s="6">
        <f t="shared" si="20"/>
        <v>45950</v>
      </c>
      <c r="AA5" s="6">
        <f t="shared" si="20"/>
        <v>45951</v>
      </c>
      <c r="AB5" s="6">
        <f t="shared" si="20"/>
        <v>45952</v>
      </c>
      <c r="AC5" s="6">
        <f t="shared" si="20"/>
        <v>45953</v>
      </c>
      <c r="AD5" s="6">
        <f t="shared" si="20"/>
        <v>45954</v>
      </c>
      <c r="AE5" s="6">
        <f t="shared" si="20"/>
        <v>45955</v>
      </c>
      <c r="AF5" s="6">
        <f t="shared" si="20"/>
        <v>45956</v>
      </c>
      <c r="AG5" s="6">
        <f t="shared" si="20"/>
        <v>45957</v>
      </c>
      <c r="AH5" s="6">
        <f t="shared" si="20"/>
        <v>45958</v>
      </c>
      <c r="AI5" s="6">
        <f t="shared" si="20"/>
        <v>45959</v>
      </c>
      <c r="AJ5" s="6">
        <f t="shared" si="20"/>
        <v>45960</v>
      </c>
      <c r="AK5" s="6">
        <f t="shared" si="20"/>
        <v>45961</v>
      </c>
      <c r="AL5" s="6">
        <f t="shared" ref="AL5:BC5" si="21">AK5+1</f>
        <v>45962</v>
      </c>
      <c r="AM5" s="6">
        <f t="shared" si="21"/>
        <v>45963</v>
      </c>
      <c r="AN5" s="6">
        <f t="shared" si="21"/>
        <v>45964</v>
      </c>
      <c r="AO5" s="6">
        <f t="shared" si="21"/>
        <v>45965</v>
      </c>
      <c r="AP5" s="6">
        <f t="shared" si="21"/>
        <v>45966</v>
      </c>
      <c r="AQ5" s="6">
        <f t="shared" si="21"/>
        <v>45967</v>
      </c>
      <c r="AR5" s="6">
        <f t="shared" si="21"/>
        <v>45968</v>
      </c>
      <c r="AS5" s="6">
        <f t="shared" si="21"/>
        <v>45969</v>
      </c>
      <c r="AT5" s="6">
        <f t="shared" si="21"/>
        <v>45970</v>
      </c>
      <c r="AU5" s="6">
        <f t="shared" si="21"/>
        <v>45971</v>
      </c>
      <c r="AV5" s="6">
        <f t="shared" si="21"/>
        <v>45972</v>
      </c>
      <c r="AW5" s="6">
        <f t="shared" si="21"/>
        <v>45973</v>
      </c>
      <c r="AX5" s="6">
        <f t="shared" si="21"/>
        <v>45974</v>
      </c>
      <c r="AY5" s="6">
        <f t="shared" si="21"/>
        <v>45975</v>
      </c>
      <c r="AZ5" s="6">
        <f t="shared" si="21"/>
        <v>45976</v>
      </c>
      <c r="BA5" s="6">
        <f t="shared" si="21"/>
        <v>45977</v>
      </c>
      <c r="BB5" s="6">
        <f t="shared" si="21"/>
        <v>45978</v>
      </c>
      <c r="BC5" s="6">
        <f t="shared" si="21"/>
        <v>45979</v>
      </c>
      <c r="BD5" s="6">
        <f t="shared" ref="BD5:BP5" si="22">BC5+1</f>
        <v>45980</v>
      </c>
      <c r="BE5" s="6">
        <f t="shared" si="22"/>
        <v>45981</v>
      </c>
      <c r="BF5" s="6">
        <f t="shared" si="22"/>
        <v>45982</v>
      </c>
      <c r="BG5" s="6">
        <f t="shared" si="22"/>
        <v>45983</v>
      </c>
      <c r="BH5" s="6">
        <f t="shared" si="22"/>
        <v>45984</v>
      </c>
      <c r="BI5" s="6">
        <f t="shared" si="22"/>
        <v>45985</v>
      </c>
      <c r="BJ5" s="6">
        <f t="shared" si="22"/>
        <v>45986</v>
      </c>
      <c r="BK5" s="6">
        <f t="shared" si="22"/>
        <v>45987</v>
      </c>
      <c r="BL5" s="6">
        <f t="shared" si="22"/>
        <v>45988</v>
      </c>
      <c r="BM5" s="6">
        <f t="shared" si="22"/>
        <v>45989</v>
      </c>
      <c r="BN5" s="6">
        <f t="shared" si="22"/>
        <v>45990</v>
      </c>
      <c r="BO5" s="6">
        <f t="shared" si="22"/>
        <v>45991</v>
      </c>
      <c r="BP5" s="6">
        <f t="shared" si="22"/>
        <v>45992</v>
      </c>
      <c r="BQ5" s="6">
        <f t="shared" ref="BQ5:CL5" si="23">BP5+1</f>
        <v>45993</v>
      </c>
      <c r="BR5" s="6">
        <f t="shared" si="23"/>
        <v>45994</v>
      </c>
      <c r="BS5" s="6">
        <f t="shared" si="23"/>
        <v>45995</v>
      </c>
      <c r="BT5" s="6">
        <f t="shared" si="23"/>
        <v>45996</v>
      </c>
      <c r="BU5" s="6">
        <f t="shared" si="23"/>
        <v>45997</v>
      </c>
      <c r="BV5" s="6">
        <f t="shared" si="23"/>
        <v>45998</v>
      </c>
      <c r="BW5" s="6">
        <f t="shared" si="23"/>
        <v>45999</v>
      </c>
      <c r="BX5" s="6">
        <f t="shared" si="23"/>
        <v>46000</v>
      </c>
      <c r="BY5" s="6">
        <f t="shared" si="23"/>
        <v>46001</v>
      </c>
      <c r="BZ5" s="6">
        <f t="shared" si="23"/>
        <v>46002</v>
      </c>
      <c r="CA5" s="6">
        <f t="shared" si="23"/>
        <v>46003</v>
      </c>
      <c r="CB5" s="6">
        <f t="shared" si="23"/>
        <v>46004</v>
      </c>
      <c r="CC5" s="6">
        <f t="shared" si="23"/>
        <v>46005</v>
      </c>
      <c r="CD5" s="6">
        <f t="shared" si="23"/>
        <v>46006</v>
      </c>
      <c r="CE5" s="6">
        <f t="shared" si="23"/>
        <v>46007</v>
      </c>
      <c r="CF5" s="6">
        <f t="shared" si="23"/>
        <v>46008</v>
      </c>
      <c r="CG5" s="6">
        <f t="shared" si="23"/>
        <v>46009</v>
      </c>
      <c r="CH5" s="6">
        <f t="shared" si="23"/>
        <v>46010</v>
      </c>
      <c r="CI5" s="6">
        <f t="shared" si="23"/>
        <v>46011</v>
      </c>
      <c r="CJ5" s="6">
        <f t="shared" si="23"/>
        <v>46012</v>
      </c>
      <c r="CK5" s="6">
        <f t="shared" si="23"/>
        <v>46013</v>
      </c>
      <c r="CL5" s="6">
        <f t="shared" si="23"/>
        <v>46014</v>
      </c>
      <c r="CM5" s="6">
        <f t="shared" ref="CM5:CN5" si="24">CL5+1</f>
        <v>46015</v>
      </c>
      <c r="CN5" s="6">
        <f t="shared" si="24"/>
        <v>46016</v>
      </c>
      <c r="CO5" s="6">
        <f t="shared" ref="CO5:CS5" si="25">CN5+1</f>
        <v>46017</v>
      </c>
      <c r="CP5" s="6">
        <f t="shared" si="25"/>
        <v>46018</v>
      </c>
      <c r="CQ5" s="6">
        <f t="shared" si="25"/>
        <v>46019</v>
      </c>
      <c r="CR5" s="6">
        <f t="shared" si="25"/>
        <v>46020</v>
      </c>
      <c r="CS5" s="6">
        <f t="shared" si="25"/>
        <v>46021</v>
      </c>
      <c r="CT5" s="6">
        <f t="shared" ref="CT5" si="26">CS5+1</f>
        <v>46022</v>
      </c>
      <c r="CU5" s="6">
        <f t="shared" ref="CU5" si="27">CT5+1</f>
        <v>46023</v>
      </c>
      <c r="CV5" s="6">
        <f t="shared" ref="CV5" si="28">CU5+1</f>
        <v>46024</v>
      </c>
      <c r="CW5" s="6">
        <f t="shared" ref="CW5" si="29">CV5+1</f>
        <v>46025</v>
      </c>
      <c r="CX5" s="6">
        <f t="shared" ref="CX5" si="30">CW5+1</f>
        <v>46026</v>
      </c>
      <c r="CY5" s="6">
        <f t="shared" ref="CY5" si="31">CX5+1</f>
        <v>46027</v>
      </c>
      <c r="CZ5" s="6">
        <f t="shared" ref="CZ5" si="32">CY5+1</f>
        <v>46028</v>
      </c>
      <c r="DA5" s="6">
        <f t="shared" ref="DA5" si="33">CZ5+1</f>
        <v>46029</v>
      </c>
      <c r="DB5" s="6">
        <f t="shared" ref="DB5" si="34">DA5+1</f>
        <v>46030</v>
      </c>
      <c r="DC5" s="6">
        <f t="shared" ref="DC5" si="35">DB5+1</f>
        <v>46031</v>
      </c>
      <c r="DD5" s="6">
        <f t="shared" ref="DD5" si="36">DC5+1</f>
        <v>46032</v>
      </c>
      <c r="DE5" s="6">
        <f t="shared" ref="DE5" si="37">DD5+1</f>
        <v>46033</v>
      </c>
      <c r="DF5" s="6">
        <f t="shared" ref="DF5" si="38">DE5+1</f>
        <v>46034</v>
      </c>
      <c r="DG5" s="6">
        <f t="shared" ref="DG5" si="39">DF5+1</f>
        <v>46035</v>
      </c>
      <c r="DH5" s="6">
        <f t="shared" ref="DH5" si="40">DG5+1</f>
        <v>46036</v>
      </c>
      <c r="DI5" s="6">
        <f t="shared" ref="DI5" si="41">DH5+1</f>
        <v>46037</v>
      </c>
      <c r="DJ5" s="6">
        <f t="shared" ref="DJ5" si="42">DI5+1</f>
        <v>46038</v>
      </c>
      <c r="DK5" s="6">
        <f t="shared" ref="DK5" si="43">DJ5+1</f>
        <v>46039</v>
      </c>
      <c r="DL5" s="6">
        <f t="shared" ref="DL5" si="44">DK5+1</f>
        <v>46040</v>
      </c>
      <c r="DM5" s="6">
        <f t="shared" ref="DM5" si="45">DL5+1</f>
        <v>46041</v>
      </c>
      <c r="DN5" s="6">
        <f t="shared" ref="DN5" si="46">DM5+1</f>
        <v>46042</v>
      </c>
      <c r="DO5" s="6">
        <f t="shared" ref="DO5" si="47">DN5+1</f>
        <v>46043</v>
      </c>
      <c r="DP5" s="6">
        <f t="shared" ref="DP5" si="48">DO5+1</f>
        <v>46044</v>
      </c>
      <c r="DQ5" s="6">
        <f t="shared" ref="DQ5" si="49">DP5+1</f>
        <v>46045</v>
      </c>
      <c r="DR5" s="6">
        <f t="shared" ref="DR5" si="50">DQ5+1</f>
        <v>46046</v>
      </c>
      <c r="DS5" s="6">
        <f t="shared" ref="DS5" si="51">DR5+1</f>
        <v>46047</v>
      </c>
      <c r="DT5" s="6">
        <f t="shared" ref="DT5" si="52">DS5+1</f>
        <v>46048</v>
      </c>
      <c r="DU5" s="6">
        <f t="shared" ref="DU5" si="53">DT5+1</f>
        <v>46049</v>
      </c>
      <c r="DV5" s="6">
        <f t="shared" ref="DV5" si="54">DU5+1</f>
        <v>46050</v>
      </c>
      <c r="DW5" s="6">
        <f t="shared" ref="DW5" si="55">DV5+1</f>
        <v>46051</v>
      </c>
      <c r="DX5" s="6">
        <f t="shared" ref="DX5" si="56">DW5+1</f>
        <v>46052</v>
      </c>
      <c r="DY5" s="6">
        <f t="shared" ref="DY5" si="57">DX5+1</f>
        <v>46053</v>
      </c>
      <c r="DZ5" s="6">
        <f t="shared" ref="DZ5" si="58">DY5+1</f>
        <v>46054</v>
      </c>
      <c r="EA5" s="6">
        <f t="shared" ref="EA5" si="59">DZ5+1</f>
        <v>46055</v>
      </c>
      <c r="EB5" s="6">
        <f t="shared" ref="EB5" si="60">EA5+1</f>
        <v>46056</v>
      </c>
      <c r="EC5" s="6">
        <f t="shared" ref="EC5" si="61">EB5+1</f>
        <v>46057</v>
      </c>
      <c r="ED5" s="6">
        <f t="shared" ref="ED5" si="62">EC5+1</f>
        <v>46058</v>
      </c>
      <c r="EE5" s="6">
        <f t="shared" ref="EE5" si="63">ED5+1</f>
        <v>46059</v>
      </c>
      <c r="EF5" s="6">
        <f t="shared" ref="EF5" si="64">EE5+1</f>
        <v>46060</v>
      </c>
      <c r="EG5" s="6">
        <f t="shared" ref="EG5" si="65">EF5+1</f>
        <v>46061</v>
      </c>
      <c r="EH5" s="6">
        <f t="shared" ref="EH5" si="66">EG5+1</f>
        <v>46062</v>
      </c>
      <c r="EI5" s="6">
        <f t="shared" ref="EI5" si="67">EH5+1</f>
        <v>46063</v>
      </c>
      <c r="EJ5" s="6">
        <f t="shared" ref="EJ5" si="68">EI5+1</f>
        <v>46064</v>
      </c>
      <c r="EK5" s="6">
        <f t="shared" ref="EK5" si="69">EJ5+1</f>
        <v>46065</v>
      </c>
      <c r="EL5" s="6">
        <f t="shared" ref="EL5" si="70">EK5+1</f>
        <v>46066</v>
      </c>
      <c r="EM5" s="6">
        <f t="shared" ref="EM5" si="71">EL5+1</f>
        <v>46067</v>
      </c>
      <c r="EN5" s="6">
        <f t="shared" ref="EN5" si="72">EM5+1</f>
        <v>46068</v>
      </c>
      <c r="EO5" s="6">
        <f t="shared" ref="EO5" si="73">EN5+1</f>
        <v>46069</v>
      </c>
      <c r="EP5" s="6">
        <f t="shared" ref="EP5" si="74">EO5+1</f>
        <v>46070</v>
      </c>
      <c r="EQ5" s="6">
        <f t="shared" ref="EQ5" si="75">EP5+1</f>
        <v>46071</v>
      </c>
      <c r="ER5" s="6">
        <f t="shared" ref="ER5" si="76">EQ5+1</f>
        <v>46072</v>
      </c>
      <c r="ES5" s="6">
        <f t="shared" ref="ES5" si="77">ER5+1</f>
        <v>46073</v>
      </c>
      <c r="ET5" s="6">
        <f t="shared" ref="ET5" si="78">ES5+1</f>
        <v>46074</v>
      </c>
      <c r="EU5" s="6">
        <f t="shared" ref="EU5" si="79">ET5+1</f>
        <v>46075</v>
      </c>
      <c r="EV5" s="6">
        <f t="shared" ref="EV5" si="80">EU5+1</f>
        <v>46076</v>
      </c>
      <c r="EW5" s="6">
        <f t="shared" ref="EW5" si="81">EV5+1</f>
        <v>46077</v>
      </c>
    </row>
    <row r="6" spans="2:153" ht="21.75" customHeight="1" x14ac:dyDescent="0.45">
      <c r="B6" s="12" t="s">
        <v>32</v>
      </c>
      <c r="C6" s="13"/>
      <c r="D6" s="13"/>
      <c r="E6" s="13"/>
      <c r="F6" s="1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</row>
    <row r="7" spans="2:153" ht="21.75" customHeight="1" x14ac:dyDescent="0.45">
      <c r="B7" s="8" t="s">
        <v>22</v>
      </c>
      <c r="C7" s="9"/>
      <c r="D7" s="11">
        <v>1</v>
      </c>
      <c r="E7" s="10">
        <v>45943</v>
      </c>
      <c r="F7" s="10">
        <f>IF(E7="","",WORKDAY.INTL(E7,(D7-1),"1100001",祝日!$B$1:$B$16))</f>
        <v>45943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</row>
    <row r="8" spans="2:153" ht="21.75" customHeight="1" x14ac:dyDescent="0.45">
      <c r="B8" s="8" t="s">
        <v>23</v>
      </c>
      <c r="C8" s="9"/>
      <c r="D8" s="11">
        <v>1</v>
      </c>
      <c r="E8" s="10">
        <f>F7+1</f>
        <v>45944</v>
      </c>
      <c r="F8" s="10">
        <f>IF(E8="","",WORKDAY.INTL(E8,(D8-1),"0000001",祝日!$B$1:$B$16))</f>
        <v>45944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</row>
    <row r="9" spans="2:153" ht="21.75" customHeight="1" x14ac:dyDescent="0.45">
      <c r="B9" s="8" t="s">
        <v>30</v>
      </c>
      <c r="C9" s="9"/>
      <c r="D9" s="11">
        <v>3</v>
      </c>
      <c r="E9" s="10">
        <f t="shared" ref="E9:E19" si="82">F8+1</f>
        <v>45945</v>
      </c>
      <c r="F9" s="10">
        <f>IF(E9="","",WORKDAY.INTL(E9,(D9-1),"1101001",祝日!$B$1:$B$16))</f>
        <v>45948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</row>
    <row r="10" spans="2:153" ht="21.75" customHeight="1" x14ac:dyDescent="0.45">
      <c r="B10" s="8" t="s">
        <v>25</v>
      </c>
      <c r="C10" s="9"/>
      <c r="D10" s="11">
        <v>1</v>
      </c>
      <c r="E10" s="10">
        <f t="shared" si="82"/>
        <v>45949</v>
      </c>
      <c r="F10" s="10">
        <f>IF(E10="","",WORKDAY.INTL(E10,(D10-1),"1101001",祝日!$B$1:$B$16))</f>
        <v>45949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</row>
    <row r="11" spans="2:153" ht="21.75" customHeight="1" x14ac:dyDescent="0.45">
      <c r="B11" s="8" t="s">
        <v>26</v>
      </c>
      <c r="C11" s="9"/>
      <c r="D11" s="11">
        <v>3</v>
      </c>
      <c r="E11" s="10">
        <f t="shared" si="82"/>
        <v>45950</v>
      </c>
      <c r="F11" s="10">
        <f>IF(E11="","",WORKDAY.INTL(E11,(D11-1),"1101001",祝日!$B$1:$B$16))</f>
        <v>45954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</row>
    <row r="12" spans="2:153" ht="21.75" customHeight="1" x14ac:dyDescent="0.45">
      <c r="B12" s="8" t="s">
        <v>27</v>
      </c>
      <c r="C12" s="9"/>
      <c r="D12" s="11">
        <v>9</v>
      </c>
      <c r="E12" s="10">
        <f>F11+1</f>
        <v>45955</v>
      </c>
      <c r="F12" s="10">
        <f>IF(E12="","",WORKDAY.INTL(E12,(D12-1),"1100001",祝日!$B$1:$B$16))</f>
        <v>45969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</row>
    <row r="13" spans="2:153" ht="21.75" customHeight="1" x14ac:dyDescent="0.45">
      <c r="B13" s="8" t="s">
        <v>28</v>
      </c>
      <c r="C13" s="9"/>
      <c r="D13" s="11">
        <v>13</v>
      </c>
      <c r="E13" s="10">
        <f t="shared" si="82"/>
        <v>45970</v>
      </c>
      <c r="F13" s="10">
        <f>IF(E13="","",WORKDAY.INTL(E13,(D13-1),"1100001",祝日!$B$1:$B$16))</f>
        <v>45990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</row>
    <row r="14" spans="2:153" ht="21.75" customHeight="1" x14ac:dyDescent="0.45">
      <c r="B14" s="8" t="s">
        <v>29</v>
      </c>
      <c r="C14" s="9"/>
      <c r="D14" s="11">
        <v>7</v>
      </c>
      <c r="E14" s="10">
        <f t="shared" si="82"/>
        <v>45991</v>
      </c>
      <c r="F14" s="10">
        <f>IF(E14="","",WORKDAY.INTL(E14,(D14-1),"1100001",祝日!$B$1:$B$16))</f>
        <v>46002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</row>
    <row r="15" spans="2:153" ht="21.75" customHeight="1" x14ac:dyDescent="0.45">
      <c r="B15" s="8" t="s">
        <v>24</v>
      </c>
      <c r="C15" s="9"/>
      <c r="D15" s="11">
        <v>2</v>
      </c>
      <c r="E15" s="10">
        <f t="shared" si="82"/>
        <v>46003</v>
      </c>
      <c r="F15" s="10">
        <f>IF(E15="","",WORKDAY.INTL(E15,(D15-1),"1100001",祝日!$B$1:$B$16))</f>
        <v>46004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</row>
    <row r="16" spans="2:153" ht="21.75" customHeight="1" x14ac:dyDescent="0.45">
      <c r="B16" s="8" t="s">
        <v>33</v>
      </c>
      <c r="C16" s="9"/>
      <c r="D16" s="11">
        <v>2</v>
      </c>
      <c r="E16" s="10">
        <f t="shared" si="82"/>
        <v>46005</v>
      </c>
      <c r="F16" s="10">
        <f>IF(E16="","",WORKDAY.INTL(E16,(D16-1),"1100001",祝日!$B$1:$B$16))</f>
        <v>46008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</row>
    <row r="17" spans="2:153" ht="21.75" customHeight="1" x14ac:dyDescent="0.45">
      <c r="B17" s="8" t="s">
        <v>34</v>
      </c>
      <c r="C17" s="9"/>
      <c r="D17" s="11">
        <v>14</v>
      </c>
      <c r="E17" s="10">
        <f t="shared" si="82"/>
        <v>46009</v>
      </c>
      <c r="F17" s="10">
        <f>IF(E17="","",WORKDAY.INTL(E17,(D17-1),"1100001",祝日!$B$1:$B$16))</f>
        <v>46031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</row>
    <row r="18" spans="2:153" ht="21.75" customHeight="1" x14ac:dyDescent="0.45">
      <c r="B18" s="8" t="s">
        <v>35</v>
      </c>
      <c r="C18" s="9"/>
      <c r="D18" s="11">
        <v>4</v>
      </c>
      <c r="E18" s="10">
        <f t="shared" si="82"/>
        <v>46032</v>
      </c>
      <c r="F18" s="10">
        <f>IF(E18="","",WORKDAY.INTL(E18,(D18-1),"1100001",祝日!$B$1:$B$16))</f>
        <v>46038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</row>
    <row r="19" spans="2:153" ht="21.75" customHeight="1" x14ac:dyDescent="0.45">
      <c r="B19" s="8" t="s">
        <v>37</v>
      </c>
      <c r="C19" s="9"/>
      <c r="D19" s="11">
        <v>7</v>
      </c>
      <c r="E19" s="10">
        <f t="shared" si="82"/>
        <v>46039</v>
      </c>
      <c r="F19" s="10">
        <f>IF(E19="","",WORKDAY.INTL(E19,(D19-1),"1100001",祝日!$B$1:$B$16))</f>
        <v>46051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</row>
    <row r="20" spans="2:153" ht="21.75" customHeight="1" x14ac:dyDescent="0.45">
      <c r="B20" s="8" t="s">
        <v>36</v>
      </c>
      <c r="C20" s="9"/>
      <c r="D20" s="11">
        <v>1</v>
      </c>
      <c r="E20" s="10">
        <f>F19+1</f>
        <v>46052</v>
      </c>
      <c r="F20" s="10">
        <f>IF(E20="","",WORKDAY.INTL(E20,(D20-1),"1100001",祝日!$B$1:$B$16))</f>
        <v>46052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</row>
    <row r="21" spans="2:153" ht="21.75" customHeight="1" x14ac:dyDescent="0.45">
      <c r="B21" s="8" t="s">
        <v>38</v>
      </c>
      <c r="C21" s="9"/>
      <c r="D21" s="11">
        <v>1</v>
      </c>
      <c r="E21" s="10">
        <f>F20+1</f>
        <v>46053</v>
      </c>
      <c r="F21" s="10">
        <f>IF(E21="","",WORKDAY.INTL(E21,(D21-1),"1100001",祝日!$B$1:$B$16))</f>
        <v>46053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</row>
    <row r="22" spans="2:153" ht="21.75" customHeight="1" x14ac:dyDescent="0.45">
      <c r="B22" s="8" t="s">
        <v>39</v>
      </c>
      <c r="C22" s="9"/>
      <c r="D22" s="11">
        <v>0.5</v>
      </c>
      <c r="E22" s="10">
        <f>F21+1</f>
        <v>46054</v>
      </c>
      <c r="F22" s="10">
        <f>IF(E22="","",WORKDAY.INTL(E22,(D22-1),"1100001",祝日!$B$1:$B$16))</f>
        <v>46053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</row>
    <row r="23" spans="2:153" ht="21.75" customHeight="1" x14ac:dyDescent="0.45">
      <c r="B23" s="8" t="s">
        <v>40</v>
      </c>
      <c r="C23" s="9"/>
      <c r="D23" s="11">
        <v>1</v>
      </c>
      <c r="E23" s="10">
        <f>F22+1</f>
        <v>46054</v>
      </c>
      <c r="F23" s="10">
        <f>IF(E23="","",WORKDAY.INTL(E23,(D23-1),"1100001",祝日!$B$1:$B$16))</f>
        <v>46054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</row>
    <row r="24" spans="2:153" ht="21.75" customHeight="1" x14ac:dyDescent="0.45">
      <c r="B24" s="8" t="s">
        <v>41</v>
      </c>
      <c r="C24" s="9"/>
      <c r="D24" s="11">
        <v>1</v>
      </c>
      <c r="E24" s="10">
        <f t="shared" ref="E24:E25" si="83">F23+1</f>
        <v>46055</v>
      </c>
      <c r="F24" s="10">
        <f>IF(E24="","",WORKDAY.INTL(E24,(D24-1),"1100001",祝日!$B$1:$B$16))</f>
        <v>46055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</row>
    <row r="25" spans="2:153" ht="21.75" customHeight="1" x14ac:dyDescent="0.45">
      <c r="B25" s="8" t="s">
        <v>42</v>
      </c>
      <c r="C25" s="9"/>
      <c r="D25" s="11">
        <v>2</v>
      </c>
      <c r="E25" s="10">
        <f t="shared" si="83"/>
        <v>46056</v>
      </c>
      <c r="F25" s="10">
        <f>IF(E25="","",WORKDAY.INTL(E25,(D25-1),"1100001",祝日!$B$1:$B$16))</f>
        <v>46057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</row>
    <row r="26" spans="2:153" ht="21.75" customHeight="1" x14ac:dyDescent="0.45">
      <c r="B26" s="8"/>
      <c r="C26" s="9"/>
      <c r="D26" s="11"/>
      <c r="E26" s="10"/>
      <c r="F26" s="1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</row>
  </sheetData>
  <mergeCells count="27">
    <mergeCell ref="AI4:AO4"/>
    <mergeCell ref="D4:D5"/>
    <mergeCell ref="B1:D2"/>
    <mergeCell ref="B4:B5"/>
    <mergeCell ref="C4:C5"/>
    <mergeCell ref="E4:E5"/>
    <mergeCell ref="F4:F5"/>
    <mergeCell ref="G4:M4"/>
    <mergeCell ref="N4:T4"/>
    <mergeCell ref="U4:AA4"/>
    <mergeCell ref="AB4:AH4"/>
    <mergeCell ref="CT4:CZ4"/>
    <mergeCell ref="CF4:CL4"/>
    <mergeCell ref="CM4:CS4"/>
    <mergeCell ref="AP4:AV4"/>
    <mergeCell ref="AW4:BC4"/>
    <mergeCell ref="BD4:BJ4"/>
    <mergeCell ref="BK4:BQ4"/>
    <mergeCell ref="BR4:BX4"/>
    <mergeCell ref="BY4:CE4"/>
    <mergeCell ref="EJ4:EP4"/>
    <mergeCell ref="EQ4:EW4"/>
    <mergeCell ref="DA4:DG4"/>
    <mergeCell ref="DH4:DN4"/>
    <mergeCell ref="DO4:DU4"/>
    <mergeCell ref="DV4:EB4"/>
    <mergeCell ref="EC4:EI4"/>
  </mergeCells>
  <phoneticPr fontId="1"/>
  <conditionalFormatting sqref="G7:CS19 AY20:CS20 G21:CS50">
    <cfRule type="expression" dxfId="4" priority="37">
      <formula>AND($E7&lt;=G$5,$F7&gt;=G$5,$F7&lt;&gt;"")</formula>
    </cfRule>
  </conditionalFormatting>
  <conditionalFormatting sqref="G5:EW5">
    <cfRule type="expression" dxfId="3" priority="1">
      <formula>WEEKDAY(G5)=1</formula>
    </cfRule>
    <cfRule type="expression" dxfId="2" priority="2">
      <formula>WEEKDAY(G5)=7</formula>
    </cfRule>
  </conditionalFormatting>
  <conditionalFormatting sqref="CT7:EW50">
    <cfRule type="expression" dxfId="1" priority="4">
      <formula>AND($E7&lt;=CT$5,$F7&gt;=CT$5,$F7&lt;&gt;"")</formula>
    </cfRule>
  </conditionalFormatting>
  <dataValidations disablePrompts="1" count="1">
    <dataValidation allowBlank="1" showInputMessage="1" showErrorMessage="1" prompt="完了日は、工数と開始日を入力すると自動的に計算されます。" sqref="F4:F5" xr:uid="{5AB84A67-056C-4594-A425-E5D48AD48459}"/>
  </dataValidations>
  <pageMargins left="0.25" right="0.25" top="0.75" bottom="0.75" header="0.3" footer="0.3"/>
  <pageSetup paperSize="9" scale="71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BC3F1FA-4593-46E6-B529-96E2ED7850DA}">
            <xm:f>COUNTIF(祝日!$B$1:$B$16,G5) &gt;=1</xm:f>
            <x14:dxf>
              <fill>
                <patternFill>
                  <bgColor theme="7" tint="0.79998168889431442"/>
                </patternFill>
              </fill>
            </x14:dxf>
          </x14:cfRule>
          <xm:sqref>G5:EW5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37F0-CDFC-4242-9C94-82F39335C6E0}">
  <dimension ref="A1:B16"/>
  <sheetViews>
    <sheetView workbookViewId="0">
      <selection activeCell="B16" sqref="B16"/>
    </sheetView>
  </sheetViews>
  <sheetFormatPr defaultRowHeight="18" x14ac:dyDescent="0.45"/>
  <cols>
    <col min="1" max="1" width="15.8984375" style="1" customWidth="1"/>
    <col min="2" max="2" width="10.8984375" style="15" customWidth="1"/>
  </cols>
  <sheetData>
    <row r="1" spans="1:2" x14ac:dyDescent="0.45">
      <c r="A1" s="1" t="s">
        <v>6</v>
      </c>
      <c r="B1" s="15">
        <v>44562</v>
      </c>
    </row>
    <row r="2" spans="1:2" x14ac:dyDescent="0.45">
      <c r="A2" s="1" t="s">
        <v>7</v>
      </c>
      <c r="B2" s="15">
        <v>44571</v>
      </c>
    </row>
    <row r="3" spans="1:2" x14ac:dyDescent="0.45">
      <c r="A3" s="1" t="s">
        <v>8</v>
      </c>
      <c r="B3" s="15">
        <v>44603</v>
      </c>
    </row>
    <row r="4" spans="1:2" x14ac:dyDescent="0.45">
      <c r="A4" s="1" t="s">
        <v>9</v>
      </c>
      <c r="B4" s="15">
        <v>44615</v>
      </c>
    </row>
    <row r="5" spans="1:2" x14ac:dyDescent="0.45">
      <c r="A5" s="1" t="s">
        <v>10</v>
      </c>
      <c r="B5" s="15">
        <v>44641</v>
      </c>
    </row>
    <row r="6" spans="1:2" x14ac:dyDescent="0.45">
      <c r="A6" s="1" t="s">
        <v>11</v>
      </c>
      <c r="B6" s="15">
        <v>44680</v>
      </c>
    </row>
    <row r="7" spans="1:2" x14ac:dyDescent="0.45">
      <c r="A7" s="1" t="s">
        <v>12</v>
      </c>
      <c r="B7" s="15">
        <v>44684</v>
      </c>
    </row>
    <row r="8" spans="1:2" x14ac:dyDescent="0.45">
      <c r="A8" s="1" t="s">
        <v>13</v>
      </c>
      <c r="B8" s="15">
        <v>44685</v>
      </c>
    </row>
    <row r="9" spans="1:2" x14ac:dyDescent="0.45">
      <c r="A9" s="1" t="s">
        <v>14</v>
      </c>
      <c r="B9" s="15">
        <v>44686</v>
      </c>
    </row>
    <row r="10" spans="1:2" x14ac:dyDescent="0.45">
      <c r="A10" s="1" t="s">
        <v>15</v>
      </c>
      <c r="B10" s="15">
        <v>44760</v>
      </c>
    </row>
    <row r="11" spans="1:2" x14ac:dyDescent="0.45">
      <c r="A11" s="1" t="s">
        <v>16</v>
      </c>
      <c r="B11" s="15">
        <v>44784</v>
      </c>
    </row>
    <row r="12" spans="1:2" x14ac:dyDescent="0.45">
      <c r="A12" s="1" t="s">
        <v>17</v>
      </c>
      <c r="B12" s="15">
        <v>44823</v>
      </c>
    </row>
    <row r="13" spans="1:2" x14ac:dyDescent="0.45">
      <c r="A13" s="1" t="s">
        <v>18</v>
      </c>
      <c r="B13" s="15">
        <v>44827</v>
      </c>
    </row>
    <row r="14" spans="1:2" x14ac:dyDescent="0.45">
      <c r="A14" s="1" t="s">
        <v>19</v>
      </c>
      <c r="B14" s="15">
        <v>44844</v>
      </c>
    </row>
    <row r="15" spans="1:2" x14ac:dyDescent="0.45">
      <c r="A15" s="1" t="s">
        <v>20</v>
      </c>
      <c r="B15" s="15">
        <v>44868</v>
      </c>
    </row>
    <row r="16" spans="1:2" x14ac:dyDescent="0.45">
      <c r="A16" s="1" t="s">
        <v>21</v>
      </c>
      <c r="B16" s="15">
        <v>44888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祝日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ビズ研</dc:creator>
  <cp:lastModifiedBy>cre</cp:lastModifiedBy>
  <cp:lastPrinted>2022-02-17T16:11:27Z</cp:lastPrinted>
  <dcterms:created xsi:type="dcterms:W3CDTF">2022-02-17T05:27:54Z</dcterms:created>
  <dcterms:modified xsi:type="dcterms:W3CDTF">2026-01-31T03:10:31Z</dcterms:modified>
</cp:coreProperties>
</file>